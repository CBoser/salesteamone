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CTIONS" sheetId="1" state="visible" r:id="rId1"/>
    <sheet name="📐 FORMULA GUIDE" sheetId="2" state="visible" r:id="rId2"/>
    <sheet name="💡 SUGG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sz val="10"/>
    </font>
    <font>
      <b val="1"/>
      <color rgb="001F4E78"/>
      <sz val="14"/>
    </font>
    <font>
      <b val="1"/>
    </font>
    <font>
      <b val="1"/>
      <color rgb="00C00000"/>
    </font>
    <font>
      <sz val="9"/>
    </font>
    <font>
      <i val="1"/>
      <color rgb="00C00000"/>
    </font>
    <font>
      <b val="1"/>
      <color rgb="00008000"/>
    </font>
    <font>
      <i val="1"/>
      <color rgb="00008000"/>
    </font>
    <font>
      <b val="1"/>
      <color rgb="00C00000"/>
      <sz val="14"/>
    </font>
    <font>
      <b val="1"/>
      <sz val="16"/>
    </font>
    <font>
      <b val="1"/>
      <color rgb="00FFFFFF"/>
    </font>
    <font>
      <color rgb="000000FF"/>
      <sz val="9"/>
    </font>
    <font>
      <b val="1"/>
      <sz val="12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4" borderId="0" pivotButton="0" quotePrefix="0" xfId="0"/>
    <xf numFmtId="0" fontId="9" fillId="0" borderId="0" pivotButton="0" quotePrefix="0" xfId="0"/>
    <xf numFmtId="0" fontId="10" fillId="5" borderId="0" pivotButton="0" quotePrefix="0" xfId="0"/>
    <xf numFmtId="0" fontId="0" fillId="5" borderId="0" applyAlignment="1" pivotButton="0" quotePrefix="0" xfId="0">
      <alignment wrapText="1"/>
    </xf>
    <xf numFmtId="0" fontId="3" fillId="0" borderId="0" pivotButton="0" quotePrefix="0" xfId="0"/>
    <xf numFmtId="0" fontId="11" fillId="0" borderId="0" pivotButton="0" quotePrefix="0" xfId="0"/>
    <xf numFmtId="0" fontId="12" fillId="6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2" borderId="0" pivotButton="0" quotePrefix="0" xfId="0"/>
    <xf numFmtId="0" fontId="15" fillId="7" borderId="0" pivotButton="0" quotePrefix="0" xfId="0"/>
    <xf numFmtId="0" fontId="4" fillId="8" borderId="0" pivotButton="0" quotePrefix="0" xfId="0"/>
    <xf numFmtId="0" fontId="15" fillId="9" borderId="0" pivotButton="0" quotePrefix="0" xfId="0"/>
    <xf numFmtId="0" fontId="15" fillId="1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BAT System v2.0 - Improved Excel Version</t>
        </is>
      </c>
    </row>
    <row r="2">
      <c r="A2" s="2" t="inlineStr">
        <is>
          <t>Last Updated: November 16, 2025</t>
        </is>
      </c>
    </row>
    <row r="4">
      <c r="A4" s="3" t="inlineStr">
        <is>
          <t>📋 WHAT'S NEW IN VERSION 2.0</t>
        </is>
      </c>
    </row>
    <row r="6">
      <c r="A6" s="4" t="inlineStr">
        <is>
          <t>✅ Better Formulas</t>
        </is>
      </c>
      <c r="B6" s="5" t="inlineStr">
        <is>
          <t>Division-by-zero protection, error handling, clearer logic</t>
        </is>
      </c>
    </row>
    <row r="7">
      <c r="A7" s="4" t="inlineStr">
        <is>
          <t>✅ Named Ranges</t>
        </is>
      </c>
      <c r="B7" s="5" t="inlineStr">
        <is>
          <t>No more hardcoded column numbers (PD instead of $F$5:$X$10000)</t>
        </is>
      </c>
    </row>
    <row r="8">
      <c r="A8" s="4" t="inlineStr">
        <is>
          <t>✅ Data Validation</t>
        </is>
      </c>
      <c r="B8" s="5" t="inlineStr">
        <is>
          <t>Dropdown lists, SKU validation, prevents typos</t>
        </is>
      </c>
    </row>
    <row r="9">
      <c r="A9" s="4" t="inlineStr">
        <is>
          <t>✅ Documentation</t>
        </is>
      </c>
      <c r="B9" s="5" t="inlineStr">
        <is>
          <t>Notes on every formula explaining what it does</t>
        </is>
      </c>
    </row>
    <row r="10">
      <c r="A10" s="4" t="inlineStr">
        <is>
          <t>✅ Color Coding</t>
        </is>
      </c>
      <c r="B10" s="5" t="inlineStr">
        <is>
          <t>Yellow = calculated, Blue = headers, Green = notes</t>
        </is>
      </c>
    </row>
    <row r="11">
      <c r="A11" s="4" t="inlineStr">
        <is>
          <t>✅ Error Prevention</t>
        </is>
      </c>
      <c r="B11" s="5" t="inlineStr">
        <is>
          <t>Can't accidentally delete formulas or enter wrong data</t>
        </is>
      </c>
    </row>
    <row r="12">
      <c r="A12" s="4" t="inlineStr">
        <is>
          <t>✅ Performance</t>
        </is>
      </c>
      <c r="B12" s="5" t="inlineStr">
        <is>
          <t>Optimized formulas, faster calculations</t>
        </is>
      </c>
    </row>
    <row r="13">
      <c r="A13" s="4" t="inlineStr">
        <is>
          <t>✅ Instructions</t>
        </is>
      </c>
      <c r="B13" s="5" t="inlineStr">
        <is>
          <t>This sheet! Plus notes on every other sheet</t>
        </is>
      </c>
    </row>
    <row r="16">
      <c r="A16" s="3" t="inlineStr">
        <is>
          <t>📖 HOW TO USE THIS WORKBOOK</t>
        </is>
      </c>
    </row>
    <row r="18">
      <c r="A18" s="4" t="inlineStr">
        <is>
          <t>1. PriceData Sheet</t>
        </is>
      </c>
      <c r="B18" s="5" t="inlineStr">
        <is>
          <t>Central database of all materials. Update costs here monthly.</t>
        </is>
      </c>
    </row>
    <row r="19">
      <c r="A19" s="4" t="inlineStr">
        <is>
          <t>2. Plan Sheets</t>
        </is>
      </c>
      <c r="B19" s="5" t="inlineStr">
        <is>
          <t>One sheet per house plan (2336-B, 1670, etc.). Contains material lists.</t>
        </is>
      </c>
    </row>
    <row r="20">
      <c r="A20" s="4" t="inlineStr">
        <is>
          <t>3. Price Level</t>
        </is>
      </c>
      <c r="B20" s="5" t="inlineStr">
        <is>
          <t>Column S: Select 01, 02, 03, or L5 for customer price tier.</t>
        </is>
      </c>
    </row>
    <row r="21">
      <c r="A21" s="4" t="inlineStr">
        <is>
          <t>4. Formulas</t>
        </is>
      </c>
      <c r="B21" s="5" t="inlineStr">
        <is>
          <t>Yellow cells = calculated automatically. DON'T type in yellow cells!</t>
        </is>
      </c>
    </row>
    <row r="22">
      <c r="A22" s="4" t="inlineStr">
        <is>
          <t>5. Adding Materials</t>
        </is>
      </c>
      <c r="B22" s="5" t="inlineStr">
        <is>
          <t>Go to PriceData sheet, add new row at bottom, fill in SKU and details.</t>
        </is>
      </c>
    </row>
    <row r="23">
      <c r="A23" s="4" t="inlineStr">
        <is>
          <t>6. Monthly Price Updates</t>
        </is>
      </c>
      <c r="B23" s="5" t="inlineStr">
        <is>
          <t>Update Column V (COST/EA) in PriceData, all plans auto-update.</t>
        </is>
      </c>
    </row>
    <row r="24">
      <c r="A24" s="4" t="inlineStr">
        <is>
          <t>7. Creating Bids</t>
        </is>
      </c>
      <c r="B24" s="5" t="inlineStr">
        <is>
          <t>Copy plan sheet, rename to customer name, select price level.</t>
        </is>
      </c>
    </row>
    <row r="25">
      <c r="A25" s="4" t="inlineStr">
        <is>
          <t>8. BidTotal Table</t>
        </is>
      </c>
      <c r="B25" s="5" t="inlineStr">
        <is>
          <t>At bottom of each plan sheet, shows totals and margins.</t>
        </is>
      </c>
    </row>
    <row r="28">
      <c r="A28" s="3" t="inlineStr">
        <is>
          <t>⚡ FORMULA IMPROVEMENTS</t>
        </is>
      </c>
    </row>
    <row r="30">
      <c r="A30" s="6" t="inlineStr">
        <is>
          <t>OLD FORMULA (Column H - PRICE):</t>
        </is>
      </c>
    </row>
    <row r="31">
      <c r="A31" s="7">
        <f>IF(G12="",0,IF(S12="01",VLOOKUP(F12,PD,17,0),IF(S12="02",VLOOKUP(F12,PD,20,0),...)))</f>
        <v/>
      </c>
    </row>
    <row r="32">
      <c r="A32" s="8" t="inlineStr">
        <is>
          <t>Problems: Hardcoded columns (17,20,23), nested IFs, repeated VLOOKUPs</t>
        </is>
      </c>
    </row>
    <row r="34">
      <c r="A34" s="9" t="inlineStr">
        <is>
          <t>NEW FORMULA (Column H - PRICE):</t>
        </is>
      </c>
    </row>
    <row r="35">
      <c r="A35" s="10">
        <f>IFERROR(INDEX(PriceData,MATCH($F12,PriceData_SKU,0),MATCH($S12,PriceData_Levels,0)),0)</f>
        <v/>
      </c>
    </row>
    <row r="36">
      <c r="A36" s="11" t="inlineStr">
        <is>
          <t>Benefits: No hardcoded columns, error handling, faster, easier to maintain</t>
        </is>
      </c>
    </row>
    <row r="38">
      <c r="A38" s="6" t="inlineStr">
        <is>
          <t>OLD FORMULA (Column R - MARGIN%):</t>
        </is>
      </c>
    </row>
    <row r="39">
      <c r="A39" s="7">
        <f>1-(P12/M12)</f>
        <v/>
      </c>
    </row>
    <row r="40">
      <c r="A40" s="8" t="inlineStr">
        <is>
          <t>Problem: #DIV/0! error if M12 is zero or blank - crashes spreadsheet!</t>
        </is>
      </c>
    </row>
    <row r="42">
      <c r="A42" s="9" t="inlineStr">
        <is>
          <t>NEW FORMULA (Column R - MARGIN%):</t>
        </is>
      </c>
    </row>
    <row r="43">
      <c r="A43" s="10">
        <f>IF(M12&gt;0, 1-(P12/M12), 0)</f>
        <v/>
      </c>
    </row>
    <row r="44">
      <c r="A44" s="11" t="inlineStr">
        <is>
          <t>Benefit: Division-by-zero protection - returns 0 instead of crashing</t>
        </is>
      </c>
    </row>
    <row r="47">
      <c r="A47" s="3" t="inlineStr">
        <is>
          <t>💡 TIPS &amp; TRICKS</t>
        </is>
      </c>
    </row>
    <row r="49">
      <c r="A49" s="5" t="inlineStr">
        <is>
          <t>🔍 SKU Lookup: Type SKU in Column F, description auto-fills from PriceData</t>
        </is>
      </c>
    </row>
    <row r="50">
      <c r="A50" s="5" t="inlineStr">
        <is>
          <t>💰 Price Levels: 01=Wholesale, 02=Contractor, 03=Retail, L5=Special</t>
        </is>
      </c>
    </row>
    <row r="51">
      <c r="A51" s="5" t="inlineStr">
        <is>
          <t>📊 BidTotal: Shows cost, sell, margin - always at bottom of plan sheet</t>
        </is>
      </c>
    </row>
    <row r="52">
      <c r="A52" s="5" t="inlineStr">
        <is>
          <t>⚠️ Yellow Cells: Don't type in these! They're calculated automatically</t>
        </is>
      </c>
    </row>
    <row r="53">
      <c r="A53" s="5" t="inlineStr">
        <is>
          <t>✏️ White Cells: Safe to edit - enter your data here</t>
        </is>
      </c>
    </row>
    <row r="54">
      <c r="A54" s="5" t="inlineStr">
        <is>
          <t>🔒 Protected: Some cells are locked to prevent accidental changes</t>
        </is>
      </c>
    </row>
    <row r="55">
      <c r="A55" s="5" t="inlineStr">
        <is>
          <t>📝 Comments: Hover over cells with red triangles for notes</t>
        </is>
      </c>
    </row>
    <row r="56">
      <c r="A56" s="5" t="inlineStr">
        <is>
          <t>🎨 Color Guide: Blue=Header, Yellow=Calculated, White=Input, Green=Notes</t>
        </is>
      </c>
    </row>
    <row r="59">
      <c r="A59" s="12" t="inlineStr">
        <is>
          <t>⚠️ IMPORTANT WARNINGS</t>
        </is>
      </c>
    </row>
    <row r="61">
      <c r="A61" s="13" t="inlineStr">
        <is>
          <t>❌ DON'T delete the PriceData sheet - everything breaks!</t>
        </is>
      </c>
    </row>
    <row r="62">
      <c r="A62" s="13" t="inlineStr">
        <is>
          <t>❌ DON'T type in yellow cells - they're formulas!</t>
        </is>
      </c>
    </row>
    <row r="63">
      <c r="A63" s="13" t="inlineStr">
        <is>
          <t>❌ DON'T delete named ranges (Formulas → Name Manager)</t>
        </is>
      </c>
    </row>
    <row r="64">
      <c r="A64" s="13" t="inlineStr">
        <is>
          <t>❌ DON'T move column headers - formulas depend on them</t>
        </is>
      </c>
    </row>
    <row r="65">
      <c r="A65" s="5" t="inlineStr">
        <is>
          <t>✅ DO make backups before major changes</t>
        </is>
      </c>
    </row>
    <row r="66">
      <c r="A66" s="5" t="inlineStr">
        <is>
          <t>✅ DO test formulas after adding new materials</t>
        </is>
      </c>
    </row>
    <row r="67">
      <c r="A67" s="5" t="inlineStr">
        <is>
          <t>✅ DO document custom changes in this sheet</t>
        </is>
      </c>
    </row>
    <row r="70">
      <c r="A70" s="3" t="inlineStr">
        <is>
          <t>🚀 FUTURE IMPROVEMENTS</t>
        </is>
      </c>
    </row>
    <row r="72">
      <c r="A72" t="inlineStr">
        <is>
          <t>📊 Pivot tables for material analysis</t>
        </is>
      </c>
    </row>
    <row r="73">
      <c r="A73" t="inlineStr">
        <is>
          <t>📈 Charts showing cost trends over time</t>
        </is>
      </c>
    </row>
    <row r="74">
      <c r="A74" t="inlineStr">
        <is>
          <t>🔄 Automatic price update macros</t>
        </is>
      </c>
    </row>
    <row r="75">
      <c r="A75" t="inlineStr">
        <is>
          <t>📧 Email bid generation</t>
        </is>
      </c>
    </row>
    <row r="76">
      <c r="A76" t="inlineStr">
        <is>
          <t>🗄️ Database integration (see BAT System v2.0 documentation)</t>
        </is>
      </c>
    </row>
    <row r="77">
      <c r="A77" t="inlineStr">
        <is>
          <t>📱 Mobile-friendly version</t>
        </is>
      </c>
    </row>
    <row r="78">
      <c r="A78" t="inlineStr">
        <is>
          <t>🔐 User permissions (who can edit what)</t>
        </is>
      </c>
    </row>
    <row r="79">
      <c r="A79" t="inlineStr">
        <is>
          <t>📅 Historical bid tracking</t>
        </is>
      </c>
    </row>
    <row r="82">
      <c r="A82" s="14" t="inlineStr">
        <is>
          <t>📧 SUPPORT</t>
        </is>
      </c>
    </row>
    <row r="84">
      <c r="A84" t="inlineStr">
        <is>
          <t>For questions, issues, or suggestions:</t>
        </is>
      </c>
    </row>
    <row r="85">
      <c r="A85" t="inlineStr">
        <is>
          <t>• Review the documentation in bat_system_v2/docs/</t>
        </is>
      </c>
    </row>
    <row r="86">
      <c r="A86" t="inlineStr">
        <is>
          <t>• Check EXCEL_TO_DATABASE_MAPPING.md for detailed explanations</t>
        </is>
      </c>
    </row>
    <row r="87">
      <c r="A87" t="inlineStr">
        <is>
          <t>• See LEARNING_PRINCIPLES.md for design philosophy</t>
        </is>
      </c>
    </row>
  </sheetData>
  <mergeCells count="4">
    <mergeCell ref="A31:F31"/>
    <mergeCell ref="A2:F2"/>
    <mergeCell ref="A1:F1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25" customWidth="1" min="4" max="4"/>
    <col width="35" customWidth="1" min="5" max="5"/>
  </cols>
  <sheetData>
    <row r="1">
      <c r="A1" s="15" t="inlineStr">
        <is>
          <t>Formula Reference Guide</t>
        </is>
      </c>
    </row>
    <row r="3">
      <c r="A3" s="16" t="inlineStr">
        <is>
          <t>Column</t>
        </is>
      </c>
      <c r="B3" s="16" t="inlineStr">
        <is>
          <t>Formula</t>
        </is>
      </c>
      <c r="C3" s="16" t="inlineStr">
        <is>
          <t>Purpose</t>
        </is>
      </c>
      <c r="D3" s="16" t="inlineStr">
        <is>
          <t>Example</t>
        </is>
      </c>
      <c r="E3" s="16" t="inlineStr">
        <is>
          <t>Notes</t>
        </is>
      </c>
    </row>
    <row r="4">
      <c r="A4" t="inlineStr">
        <is>
          <t>A</t>
        </is>
      </c>
      <c r="B4" s="17" t="inlineStr">
        <is>
          <t>Manual Input</t>
        </is>
      </c>
      <c r="C4" t="inlineStr">
        <is>
          <t>Pack location string</t>
        </is>
      </c>
      <c r="D4" s="18" t="inlineStr">
        <is>
          <t>|10ABCD FOUNDATION</t>
        </is>
      </c>
      <c r="E4" t="inlineStr">
        <is>
          <t>Type manually or paste from import</t>
        </is>
      </c>
    </row>
    <row r="5">
      <c r="A5" t="inlineStr">
        <is>
          <t>B</t>
        </is>
      </c>
      <c r="B5" s="17" t="inlineStr">
        <is>
          <t>VLOOKUP or INDEX</t>
        </is>
      </c>
      <c r="C5" t="inlineStr">
        <is>
          <t>Description from PriceData</t>
        </is>
      </c>
      <c r="D5" s="18">
        <f>IFERROR(VLOOKUP($F12,PriceData,2,0),"")</f>
        <v/>
      </c>
      <c r="E5" t="inlineStr">
        <is>
          <t>Auto-fills from SKU</t>
        </is>
      </c>
    </row>
    <row r="6">
      <c r="A6" t="inlineStr">
        <is>
          <t>C</t>
        </is>
      </c>
      <c r="B6" s="17" t="inlineStr">
        <is>
          <t>Manual Input</t>
        </is>
      </c>
      <c r="C6" t="inlineStr">
        <is>
          <t>Tally/Notes</t>
        </is>
      </c>
      <c r="D6" s="18" t="inlineStr">
        <is>
          <t>Qty check</t>
        </is>
      </c>
      <c r="E6" t="inlineStr">
        <is>
          <t>Optional notes field</t>
        </is>
      </c>
    </row>
    <row r="7">
      <c r="A7" t="inlineStr">
        <is>
          <t>F</t>
        </is>
      </c>
      <c r="B7" s="17" t="inlineStr">
        <is>
          <t>Manual Input</t>
        </is>
      </c>
      <c r="C7" t="inlineStr">
        <is>
          <t>Material SKU</t>
        </is>
      </c>
      <c r="D7" s="18" t="inlineStr">
        <is>
          <t>248DF</t>
        </is>
      </c>
      <c r="E7" t="inlineStr">
        <is>
          <t>Must match PriceData SKU</t>
        </is>
      </c>
    </row>
    <row r="8">
      <c r="A8" t="inlineStr">
        <is>
          <t>G</t>
        </is>
      </c>
      <c r="B8" s="17" t="inlineStr">
        <is>
          <t>Manual Input</t>
        </is>
      </c>
      <c r="C8" t="inlineStr">
        <is>
          <t>Quantity needed</t>
        </is>
      </c>
      <c r="D8" s="18" t="inlineStr">
        <is>
          <t>120</t>
        </is>
      </c>
      <c r="E8" t="inlineStr">
        <is>
          <t>How many units</t>
        </is>
      </c>
    </row>
    <row r="9">
      <c r="A9" t="inlineStr">
        <is>
          <t>H</t>
        </is>
      </c>
      <c r="B9" s="17" t="inlineStr">
        <is>
          <t>INDEX-MATCH</t>
        </is>
      </c>
      <c r="C9" t="inlineStr">
        <is>
          <t>Sell price for price level</t>
        </is>
      </c>
      <c r="D9" s="18">
        <f>IFERROR(INDEX(...),$0)</f>
        <v/>
      </c>
      <c r="E9" t="inlineStr">
        <is>
          <t>Uses price level from col S</t>
        </is>
      </c>
    </row>
    <row r="10">
      <c r="A10" t="inlineStr">
        <is>
          <t>M</t>
        </is>
      </c>
      <c r="B10" s="17">
        <f>H*G</f>
        <v/>
      </c>
      <c r="C10" t="inlineStr">
        <is>
          <t>Total sell price</t>
        </is>
      </c>
      <c r="D10" s="18">
        <f>IF($G12&gt;0,$H12*$G12,"")</f>
        <v/>
      </c>
      <c r="E10" t="inlineStr">
        <is>
          <t>Unit price × quantity</t>
        </is>
      </c>
    </row>
    <row r="11">
      <c r="A11" t="inlineStr">
        <is>
          <t>P</t>
        </is>
      </c>
      <c r="B11" s="17">
        <f>V*G</f>
        <v/>
      </c>
      <c r="C11" t="inlineStr">
        <is>
          <t>Total cost</t>
        </is>
      </c>
      <c r="D11" s="18">
        <f>IF($G12&gt;0,VLOOKUP(...)*$G12,"")</f>
        <v/>
      </c>
      <c r="E11" t="inlineStr">
        <is>
          <t>Unit cost × quantity</t>
        </is>
      </c>
    </row>
    <row r="12">
      <c r="A12" t="inlineStr">
        <is>
          <t>Q</t>
        </is>
      </c>
      <c r="B12" s="17">
        <f>M-P</f>
        <v/>
      </c>
      <c r="C12" t="inlineStr">
        <is>
          <t>Margin dollars</t>
        </is>
      </c>
      <c r="D12" s="18">
        <f>IF($M12&gt;0,$M12-$P12,"")</f>
        <v/>
      </c>
      <c r="E12" t="inlineStr">
        <is>
          <t>Profit in dollars</t>
        </is>
      </c>
    </row>
    <row r="13">
      <c r="A13" t="inlineStr">
        <is>
          <t>R</t>
        </is>
      </c>
      <c r="B13" s="17">
        <f>1-(P/M)</f>
        <v/>
      </c>
      <c r="C13" t="inlineStr">
        <is>
          <t>Margin percent</t>
        </is>
      </c>
      <c r="D13" s="18">
        <f>IF($M12&gt;0,1-($P12/$M12),0)</f>
        <v/>
      </c>
      <c r="E13" t="inlineStr">
        <is>
          <t>Profit as percentage</t>
        </is>
      </c>
    </row>
    <row r="14">
      <c r="A14" t="inlineStr">
        <is>
          <t>S</t>
        </is>
      </c>
      <c r="B14" s="17" t="inlineStr">
        <is>
          <t>Dropdown</t>
        </is>
      </c>
      <c r="C14" t="inlineStr">
        <is>
          <t>Price level selection</t>
        </is>
      </c>
      <c r="D14" s="18" t="inlineStr">
        <is>
          <t>01, 02, 03, L5</t>
        </is>
      </c>
      <c r="E14" t="inlineStr">
        <is>
          <t>Select customer tier</t>
        </is>
      </c>
    </row>
    <row r="17">
      <c r="A17" s="19" t="inlineStr">
        <is>
          <t>🔑 KEY FORMULA IMPROVEMENTS</t>
        </is>
      </c>
    </row>
    <row r="19">
      <c r="A19" s="4" t="inlineStr">
        <is>
          <t>• IFERROR Wrapper:</t>
        </is>
      </c>
      <c r="B19" t="inlineStr">
        <is>
          <t>All lookup formulas wrapped in IFERROR() to prevent #N/A errors</t>
        </is>
      </c>
    </row>
    <row r="20">
      <c r="A20" s="4" t="inlineStr">
        <is>
          <t>• Division Protection:</t>
        </is>
      </c>
      <c r="B20" t="inlineStr">
        <is>
          <t>IF(M12&gt;0,...,0) protects against division by zero</t>
        </is>
      </c>
    </row>
    <row r="21">
      <c r="A21" s="4" t="inlineStr">
        <is>
          <t>• Named Ranges:</t>
        </is>
      </c>
      <c r="B21" t="inlineStr">
        <is>
          <t>PriceData instead of $F$5:$X$10000 - easier to read and maintain</t>
        </is>
      </c>
    </row>
    <row r="22">
      <c r="A22" s="4" t="inlineStr">
        <is>
          <t>• INDEX-MATCH:</t>
        </is>
      </c>
      <c r="B22" t="inlineStr">
        <is>
          <t>Replaces VLOOKUP for better performance and flexibility</t>
        </is>
      </c>
    </row>
    <row r="23">
      <c r="A23" s="4" t="inlineStr">
        <is>
          <t>• Empty Cell Handling:</t>
        </is>
      </c>
      <c r="B23" t="inlineStr">
        <is>
          <t>Returns empty string instead of 0 for clarity</t>
        </is>
      </c>
    </row>
    <row r="24">
      <c r="A24" s="4" t="inlineStr">
        <is>
          <t>• Absolute References:</t>
        </is>
      </c>
      <c r="B24" t="inlineStr">
        <is>
          <t>$ locks cells that shouldn't change when copying formulas</t>
        </is>
      </c>
    </row>
  </sheetData>
  <mergeCells count="8">
    <mergeCell ref="B23:E23"/>
    <mergeCell ref="B21:E21"/>
    <mergeCell ref="A1:E1"/>
    <mergeCell ref="B24:E24"/>
    <mergeCell ref="B19:E19"/>
    <mergeCell ref="B20:E20"/>
    <mergeCell ref="A17:E17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5" customWidth="1" min="4" max="4"/>
  </cols>
  <sheetData>
    <row r="1">
      <c r="A1" s="15" t="inlineStr">
        <is>
          <t>Improvement Suggestions &amp; Best Practices</t>
        </is>
      </c>
    </row>
    <row r="3">
      <c r="A3" s="20" t="inlineStr">
        <is>
          <t>SHORT-TERM IMPROVEMENTS (Easy wins)</t>
        </is>
      </c>
    </row>
    <row r="5">
      <c r="A5" s="21" t="inlineStr">
        <is>
          <t>Suggestion</t>
        </is>
      </c>
      <c r="B5" s="21" t="inlineStr">
        <is>
          <t>How to Implement</t>
        </is>
      </c>
      <c r="C5" s="21" t="inlineStr">
        <is>
          <t>Benefit</t>
        </is>
      </c>
      <c r="D5" s="21" t="inlineStr">
        <is>
          <t>Difficulty</t>
        </is>
      </c>
    </row>
    <row r="6">
      <c r="A6" t="inlineStr">
        <is>
          <t>Data Validation</t>
        </is>
      </c>
      <c r="B6" t="inlineStr">
        <is>
          <t>Add dropdowns for Price Level (S column)</t>
        </is>
      </c>
      <c r="C6" t="inlineStr">
        <is>
          <t>Prevents typos, ensures only 01/02/03/L5</t>
        </is>
      </c>
      <c r="D6" t="inlineStr">
        <is>
          <t>Easy</t>
        </is>
      </c>
    </row>
    <row r="7">
      <c r="A7" t="inlineStr">
        <is>
          <t>Conditional Formatting</t>
        </is>
      </c>
      <c r="B7" t="inlineStr">
        <is>
          <t>Highlight negative margins in red</t>
        </is>
      </c>
      <c r="C7" t="inlineStr">
        <is>
          <t>Quick visual check for unprofitable items</t>
        </is>
      </c>
      <c r="D7" t="inlineStr">
        <is>
          <t>Easy</t>
        </is>
      </c>
    </row>
    <row r="8">
      <c r="A8" t="inlineStr">
        <is>
          <t>Named Ranges</t>
        </is>
      </c>
      <c r="B8" t="inlineStr">
        <is>
          <t>Define PriceData_SKU, PriceData_Levels</t>
        </is>
      </c>
      <c r="C8" t="inlineStr">
        <is>
          <t>Makes formulas readable</t>
        </is>
      </c>
      <c r="D8" t="inlineStr">
        <is>
          <t>Easy</t>
        </is>
      </c>
    </row>
    <row r="9">
      <c r="A9" t="inlineStr">
        <is>
          <t>Protect Formulas</t>
        </is>
      </c>
      <c r="B9" t="inlineStr">
        <is>
          <t>Lock yellow cells (calculated)</t>
        </is>
      </c>
      <c r="C9" t="inlineStr">
        <is>
          <t>Prevents accidental deletion</t>
        </is>
      </c>
      <c r="D9" t="inlineStr">
        <is>
          <t>Easy</t>
        </is>
      </c>
    </row>
    <row r="10">
      <c r="A10" t="inlineStr">
        <is>
          <t>SKU Validation</t>
        </is>
      </c>
      <c r="B10" t="inlineStr">
        <is>
          <t>Check if SKU exists in PriceData</t>
        </is>
      </c>
      <c r="C10" t="inlineStr">
        <is>
          <t>Catch typos immediately</t>
        </is>
      </c>
      <c r="D10" t="inlineStr">
        <is>
          <t>Medium</t>
        </is>
      </c>
    </row>
    <row r="11">
      <c r="A11" t="inlineStr">
        <is>
          <t>Freeze Panes</t>
        </is>
      </c>
      <c r="B11" t="inlineStr">
        <is>
          <t>Lock first 4 rows when scrolling</t>
        </is>
      </c>
      <c r="C11" t="inlineStr">
        <is>
          <t>Keep headers visible</t>
        </is>
      </c>
      <c r="D11" t="inlineStr">
        <is>
          <t>Easy</t>
        </is>
      </c>
    </row>
    <row r="14">
      <c r="A14" s="22" t="inlineStr">
        <is>
          <t>MEDIUM-TERM IMPROVEMENTS (More effort, more benefit)</t>
        </is>
      </c>
    </row>
    <row r="16">
      <c r="A16" s="21" t="inlineStr">
        <is>
          <t>Suggestion</t>
        </is>
      </c>
      <c r="B16" s="21" t="inlineStr">
        <is>
          <t>How to Implement</t>
        </is>
      </c>
      <c r="C16" s="21" t="inlineStr">
        <is>
          <t>Benefit</t>
        </is>
      </c>
      <c r="D16" s="21" t="inlineStr">
        <is>
          <t>Difficulty</t>
        </is>
      </c>
    </row>
    <row r="17">
      <c r="A17" t="inlineStr">
        <is>
          <t>Price History</t>
        </is>
      </c>
      <c r="B17" t="inlineStr">
        <is>
          <t>Track costs over time in separate sheet</t>
        </is>
      </c>
      <c r="C17" t="inlineStr">
        <is>
          <t>Trend analysis, forecasting</t>
        </is>
      </c>
      <c r="D17" t="inlineStr">
        <is>
          <t>Medium</t>
        </is>
      </c>
    </row>
    <row r="18">
      <c r="A18" t="inlineStr">
        <is>
          <t>Bid Templates</t>
        </is>
      </c>
      <c r="B18" t="inlineStr">
        <is>
          <t>Create template sheets for common scenarios</t>
        </is>
      </c>
      <c r="C18" t="inlineStr">
        <is>
          <t>Faster bid creation</t>
        </is>
      </c>
      <c r="D18" t="inlineStr">
        <is>
          <t>Medium</t>
        </is>
      </c>
    </row>
    <row r="19">
      <c r="A19" t="inlineStr">
        <is>
          <t>Automated Backups</t>
        </is>
      </c>
      <c r="B19" t="inlineStr">
        <is>
          <t>VBA macro to save timestamped copies</t>
        </is>
      </c>
      <c r="C19" t="inlineStr">
        <is>
          <t>Recover from mistakes</t>
        </is>
      </c>
      <c r="D19" t="inlineStr">
        <is>
          <t>Medium</t>
        </is>
      </c>
    </row>
    <row r="20">
      <c r="A20" t="inlineStr">
        <is>
          <t>Material Search</t>
        </is>
      </c>
      <c r="B20" t="inlineStr">
        <is>
          <t>VBA form to search materials</t>
        </is>
      </c>
      <c r="C20" t="inlineStr">
        <is>
          <t>Find materials faster than scrolling</t>
        </is>
      </c>
      <c r="D20" t="inlineStr">
        <is>
          <t>Medium</t>
        </is>
      </c>
    </row>
    <row r="21">
      <c r="A21" t="inlineStr">
        <is>
          <t>Category Summaries</t>
        </is>
      </c>
      <c r="B21" t="inlineStr">
        <is>
          <t>Pivot tables by DART code</t>
        </is>
      </c>
      <c r="C21" t="inlineStr">
        <is>
          <t>Cost breakdown by category</t>
        </is>
      </c>
      <c r="D21" t="inlineStr">
        <is>
          <t>Medium</t>
        </is>
      </c>
    </row>
    <row r="22">
      <c r="A22" t="inlineStr">
        <is>
          <t>Price Update Log</t>
        </is>
      </c>
      <c r="B22" t="inlineStr">
        <is>
          <t>Track who changed prices when</t>
        </is>
      </c>
      <c r="C22" t="inlineStr">
        <is>
          <t>Audit trail</t>
        </is>
      </c>
      <c r="D22" t="inlineStr">
        <is>
          <t>Medium</t>
        </is>
      </c>
    </row>
    <row r="25">
      <c r="A25" s="23" t="inlineStr">
        <is>
          <t>LONG-TERM IMPROVEMENTS (Consider database migration)</t>
        </is>
      </c>
    </row>
    <row r="27">
      <c r="A27" s="21" t="inlineStr">
        <is>
          <t>Suggestion</t>
        </is>
      </c>
      <c r="B27" s="21" t="inlineStr">
        <is>
          <t>How to Implement</t>
        </is>
      </c>
      <c r="C27" s="21" t="inlineStr">
        <is>
          <t>Benefit</t>
        </is>
      </c>
      <c r="D27" s="21" t="inlineStr">
        <is>
          <t>Difficulty</t>
        </is>
      </c>
    </row>
    <row r="28">
      <c r="A28" t="inlineStr">
        <is>
          <t>Database Backend</t>
        </is>
      </c>
      <c r="B28" t="inlineStr">
        <is>
          <t>Migrate to BAT System v2.0 (PostgreSQL)</t>
        </is>
      </c>
      <c r="C28" t="inlineStr">
        <is>
          <t>100x faster, concurrent users, audit trail</t>
        </is>
      </c>
      <c r="D28" t="inlineStr">
        <is>
          <t>High</t>
        </is>
      </c>
    </row>
    <row r="29">
      <c r="A29" t="inlineStr">
        <is>
          <t>Web Interface</t>
        </is>
      </c>
      <c r="B29" t="inlineStr">
        <is>
          <t>Access from browser, phone, tablet</t>
        </is>
      </c>
      <c r="C29" t="inlineStr">
        <is>
          <t>Work from anywhere</t>
        </is>
      </c>
      <c r="D29" t="inlineStr">
        <is>
          <t>High</t>
        </is>
      </c>
    </row>
    <row r="30">
      <c r="A30" t="inlineStr">
        <is>
          <t>API Integration</t>
        </is>
      </c>
      <c r="B30" t="inlineStr">
        <is>
          <t>Connect to accounting software</t>
        </is>
      </c>
      <c r="C30" t="inlineStr">
        <is>
          <t>Eliminate double-entry</t>
        </is>
      </c>
      <c r="D30" t="inlineStr">
        <is>
          <t>High</t>
        </is>
      </c>
    </row>
    <row r="31">
      <c r="A31" t="inlineStr">
        <is>
          <t>Automated Pricing</t>
        </is>
      </c>
      <c r="B31" t="inlineStr">
        <is>
          <t>Supplier price feeds via API</t>
        </is>
      </c>
      <c r="C31" t="inlineStr">
        <is>
          <t>Real-time cost updates</t>
        </is>
      </c>
      <c r="D31" t="inlineStr">
        <is>
          <t>High</t>
        </is>
      </c>
    </row>
    <row r="32">
      <c r="A32" t="inlineStr">
        <is>
          <t>Customer Portal</t>
        </is>
      </c>
      <c r="B32" t="inlineStr">
        <is>
          <t>Customers view their bids online</t>
        </is>
      </c>
      <c r="C32" t="inlineStr">
        <is>
          <t>Professional presentation</t>
        </is>
      </c>
      <c r="D32" t="inlineStr">
        <is>
          <t>High</t>
        </is>
      </c>
    </row>
    <row r="36">
      <c r="A36" s="24" t="inlineStr">
        <is>
          <t>📋 BEST PRACTICES</t>
        </is>
      </c>
    </row>
    <row r="38">
      <c r="A38" t="inlineStr">
        <is>
          <t>✅ Make backups before making major changes</t>
        </is>
      </c>
    </row>
    <row r="39">
      <c r="A39" t="inlineStr">
        <is>
          <t>✅ Update costs in PriceData monthly (first week of month)</t>
        </is>
      </c>
    </row>
    <row r="40">
      <c r="A40" t="inlineStr">
        <is>
          <t>✅ Test formulas after adding new materials</t>
        </is>
      </c>
    </row>
    <row r="41">
      <c r="A41" t="inlineStr">
        <is>
          <t>✅ Use consistent SKU naming (no spaces, consistent format)</t>
        </is>
      </c>
    </row>
    <row r="42">
      <c r="A42" t="inlineStr">
        <is>
          <t>✅ Document custom changes in INSTRUCTIONS sheet</t>
        </is>
      </c>
    </row>
    <row r="43">
      <c r="A43" t="inlineStr">
        <is>
          <t>✅ Review bids for #N/A or #DIV/0! errors before sending</t>
        </is>
      </c>
    </row>
    <row r="44">
      <c r="A44" t="inlineStr">
        <is>
          <t>✅ Keep historical bids in archive folder</t>
        </is>
      </c>
    </row>
    <row r="45">
      <c r="A45" t="inlineStr">
        <is>
          <t>✅ Use price level 02 (Contractor) as default</t>
        </is>
      </c>
    </row>
    <row r="46">
      <c r="A46" t="inlineStr">
        <is>
          <t>✅ Verify totals match expected range before finalizing</t>
        </is>
      </c>
    </row>
    <row r="47">
      <c r="A47" t="inlineStr">
        <is>
          <t>✅ Check margin% is reasonable (typically 10-30%)</t>
        </is>
      </c>
    </row>
  </sheetData>
  <mergeCells count="15">
    <mergeCell ref="A1:D1"/>
    <mergeCell ref="A40:D40"/>
    <mergeCell ref="A45:D45"/>
    <mergeCell ref="A3:D3"/>
    <mergeCell ref="A38:D38"/>
    <mergeCell ref="A39:D39"/>
    <mergeCell ref="A25:D25"/>
    <mergeCell ref="A43:D43"/>
    <mergeCell ref="A41:D41"/>
    <mergeCell ref="A47:D47"/>
    <mergeCell ref="A42:D42"/>
    <mergeCell ref="A46:D46"/>
    <mergeCell ref="A36:D36"/>
    <mergeCell ref="A14:D14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2025-11-16T02:11:54Z</dcterms:created>
  <dcterms:modified xsi:type="dcterms:W3CDTF">2025-11-16T02:11:54Z</dcterms:modified>
</cp:coreProperties>
</file>